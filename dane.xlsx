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4264ACD-8A4F-4A1A-81D7-489ABE562F24}" xr6:coauthVersionLast="47" xr6:coauthVersionMax="47" xr10:uidLastSave="{00000000-0000-0000-0000-000000000000}"/>
  <bookViews>
    <workbookView xWindow="-120" yWindow="-120" windowWidth="29040" windowHeight="15720" xr2:uid="{3A1AF30B-2050-449E-A241-D250D830E063}"/>
  </bookViews>
  <sheets>
    <sheet name="Arkusz1" sheetId="1" r:id="rId1"/>
  </sheets>
  <calcPr calcId="1142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8" i="1" l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5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27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8" i="1"/>
</calcChain>
</file>

<file path=xl/sharedStrings.xml><?xml version="1.0" encoding="utf-8"?>
<sst xmlns="http://schemas.openxmlformats.org/spreadsheetml/2006/main" count="164" uniqueCount="77">
  <si>
    <t>Nakłady na środki trwałe służące ochronie środowiska na 1 mieszkańca (ceny bieżące) [zł]</t>
  </si>
  <si>
    <t>podlaskie</t>
  </si>
  <si>
    <t>WARMIŃSKO-MAZURSKIE</t>
  </si>
  <si>
    <t>warminsko-mazurskie</t>
  </si>
  <si>
    <t>pomorskie</t>
  </si>
  <si>
    <t>zachodniopomorskie</t>
  </si>
  <si>
    <t>LUBUSKIE</t>
  </si>
  <si>
    <t>lubuskie</t>
  </si>
  <si>
    <t>wielkopolskie</t>
  </si>
  <si>
    <t>kujawsko-pomorskie</t>
  </si>
  <si>
    <t>lubelskie</t>
  </si>
  <si>
    <t>swietokrzyskie</t>
  </si>
  <si>
    <t>podkarpackie</t>
  </si>
  <si>
    <t>malopolskie</t>
  </si>
  <si>
    <t>łódzkie</t>
  </si>
  <si>
    <t>mazowieckie</t>
  </si>
  <si>
    <t>opolskie</t>
  </si>
  <si>
    <t>dolnoslaskie</t>
  </si>
  <si>
    <t>slaskie</t>
  </si>
  <si>
    <t>Wypadki drogowe na 100 tys. ludności [szt.]</t>
  </si>
  <si>
    <t>Wskaźnik zagrożenia ubóstwem po uwzględnieniu w dochodach transferów społecznych [%]</t>
  </si>
  <si>
    <t>Kluby sportowe [szt.]</t>
  </si>
  <si>
    <t>Stopa bezrobocia rejestrowanego [%]</t>
  </si>
  <si>
    <t>DOLNOŚLĄSKIE</t>
  </si>
  <si>
    <t>KUJAWSKO-POMORSKIE</t>
  </si>
  <si>
    <t>LUBELSKIE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</si>
  <si>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</si>
  <si>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</si>
  <si>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</si>
  <si>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</si>
  <si>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</si>
  <si>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</si>
  <si>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</si>
  <si>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</si>
  <si>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</si>
  <si>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WIELKOPOLSKIE</t>
  </si>
  <si>
    <t>ZACHODNIOPOMORSKIE</t>
  </si>
  <si>
    <t>Przeciętny miesięczny dochód rozporzadzalny do dyspozycji na 1 osobę w gospodarstwach domowych [zł</t>
  </si>
  <si>
    <t>Turyści zagraniczni korzystający z noclegów - ogółem [osoba]</t>
  </si>
  <si>
    <t>Powierzchnia gruntów leśnych oraz zadrzwione i zakrzewione [ha]</t>
  </si>
  <si>
    <t>jakosc zycia w woj.</t>
  </si>
  <si>
    <t>naklady na ochrone środ</t>
  </si>
  <si>
    <t>Wypadki drogowe na 100 tys.</t>
  </si>
  <si>
    <t>wskaznik zagrożenia ubóstwem</t>
  </si>
  <si>
    <t>stopa bezrobocia</t>
  </si>
  <si>
    <t>Przeciętny miesięczny dochód na 1 osobę [zł]</t>
  </si>
  <si>
    <t>turysci zagraniczni [os]</t>
  </si>
  <si>
    <t>powierzchia lasow [ha]</t>
  </si>
  <si>
    <t xml:space="preserve"> Zmienna</t>
  </si>
  <si>
    <t>Statystyki opisowe (Arkusz3.sta)</t>
  </si>
  <si>
    <t>Nważnych</t>
  </si>
  <si>
    <t>Średnia</t>
  </si>
  <si>
    <t>Minimum</t>
  </si>
  <si>
    <t>Maksimum</t>
  </si>
  <si>
    <t>Rozstęp</t>
  </si>
  <si>
    <t>Odch.std</t>
  </si>
  <si>
    <t>Wsp.zmn.</t>
  </si>
  <si>
    <r>
      <rPr>
        <sz val="11"/>
        <color indexed="8"/>
        <rFont val="Aptos Narrow"/>
        <family val="2"/>
      </rPr>
      <t xml:space="preserve">naklady na ochrone </t>
    </r>
    <r>
      <rPr>
        <sz val="11"/>
        <color indexed="8"/>
        <rFont val="Arial"/>
        <family val="2"/>
        <charset val="238"/>
      </rPr>
      <t>ś</t>
    </r>
    <r>
      <rPr>
        <sz val="11"/>
        <color indexed="8"/>
        <rFont val="Aptos Narrow"/>
        <family val="2"/>
      </rPr>
      <t>rod</t>
    </r>
  </si>
  <si>
    <r>
      <rPr>
        <sz val="11"/>
        <color indexed="8"/>
        <rFont val="Aptos Narrow"/>
        <family val="2"/>
      </rPr>
      <t>Wypadki drogowe na 100 tys.</t>
    </r>
  </si>
  <si>
    <r>
      <rPr>
        <sz val="11"/>
        <color indexed="8"/>
        <rFont val="Aptos Narrow"/>
        <family val="2"/>
      </rPr>
      <t>wskaznik zagro</t>
    </r>
    <r>
      <rPr>
        <sz val="11"/>
        <color indexed="8"/>
        <rFont val="Arial"/>
        <family val="2"/>
        <charset val="238"/>
      </rPr>
      <t>ż</t>
    </r>
    <r>
      <rPr>
        <sz val="11"/>
        <color indexed="8"/>
        <rFont val="Aptos Narrow"/>
        <family val="2"/>
      </rPr>
      <t>enia ub</t>
    </r>
    <r>
      <rPr>
        <sz val="11"/>
        <color indexed="8"/>
        <rFont val="Arial"/>
        <family val="2"/>
        <charset val="238"/>
      </rPr>
      <t>ó</t>
    </r>
    <r>
      <rPr>
        <sz val="11"/>
        <color indexed="8"/>
        <rFont val="Aptos Narrow"/>
        <family val="2"/>
      </rPr>
      <t>stwem</t>
    </r>
  </si>
  <si>
    <r>
      <rPr>
        <sz val="11"/>
        <color indexed="8"/>
        <rFont val="Aptos Narrow"/>
        <family val="2"/>
      </rPr>
      <t>Kluby sportowe [szt.]</t>
    </r>
  </si>
  <si>
    <r>
      <rPr>
        <sz val="11"/>
        <color indexed="8"/>
        <rFont val="Aptos Narrow"/>
        <family val="2"/>
      </rPr>
      <t>stopa bezrobocia</t>
    </r>
  </si>
  <si>
    <r>
      <rPr>
        <sz val="11"/>
        <color indexed="8"/>
        <rFont val="Aptos Narrow"/>
        <family val="2"/>
      </rPr>
      <t>Przeci</t>
    </r>
    <r>
      <rPr>
        <sz val="11"/>
        <color indexed="8"/>
        <rFont val="Arial"/>
        <family val="2"/>
        <charset val="238"/>
      </rPr>
      <t>ę</t>
    </r>
    <r>
      <rPr>
        <sz val="11"/>
        <color indexed="8"/>
        <rFont val="Aptos Narrow"/>
        <family val="2"/>
      </rPr>
      <t>tny miesi</t>
    </r>
    <r>
      <rPr>
        <sz val="11"/>
        <color indexed="8"/>
        <rFont val="Arial"/>
        <family val="2"/>
        <charset val="238"/>
      </rPr>
      <t>ę</t>
    </r>
    <r>
      <rPr>
        <sz val="11"/>
        <color indexed="8"/>
        <rFont val="Aptos Narrow"/>
        <family val="2"/>
      </rPr>
      <t>czny doch</t>
    </r>
    <r>
      <rPr>
        <sz val="11"/>
        <color indexed="8"/>
        <rFont val="Arial"/>
        <family val="2"/>
        <charset val="238"/>
      </rPr>
      <t>ó</t>
    </r>
    <r>
      <rPr>
        <sz val="11"/>
        <color indexed="8"/>
        <rFont val="Aptos Narrow"/>
        <family val="2"/>
      </rPr>
      <t>d na 1 osob</t>
    </r>
    <r>
      <rPr>
        <sz val="11"/>
        <color indexed="8"/>
        <rFont val="Arial"/>
        <family val="2"/>
        <charset val="238"/>
      </rPr>
      <t>ę</t>
    </r>
    <r>
      <rPr>
        <sz val="11"/>
        <color indexed="8"/>
        <rFont val="Aptos Narrow"/>
        <family val="2"/>
      </rPr>
      <t xml:space="preserve"> [z</t>
    </r>
    <r>
      <rPr>
        <sz val="11"/>
        <color indexed="8"/>
        <rFont val="Arial"/>
        <family val="2"/>
        <charset val="238"/>
      </rPr>
      <t>ł</t>
    </r>
    <r>
      <rPr>
        <sz val="11"/>
        <color indexed="8"/>
        <rFont val="Aptos Narrow"/>
        <family val="2"/>
      </rPr>
      <t>]</t>
    </r>
  </si>
  <si>
    <r>
      <rPr>
        <sz val="11"/>
        <color indexed="8"/>
        <rFont val="Aptos Narrow"/>
        <family val="2"/>
      </rPr>
      <t>turysci zagraniczni [os]</t>
    </r>
  </si>
  <si>
    <r>
      <rPr>
        <sz val="11"/>
        <color indexed="8"/>
        <rFont val="Aptos Narrow"/>
        <family val="2"/>
      </rPr>
      <t>powierzchia lasow [ha]</t>
    </r>
  </si>
  <si>
    <r>
      <rPr>
        <sz val="10"/>
        <color indexed="8"/>
        <rFont val="Arial"/>
        <family val="2"/>
        <charset val="238"/>
      </rPr>
      <t>Korelacje (Arkusz3.sta)
Oznaczone wsp. korelacji są istotne z p &lt; ,05000
N=16 (Braki danych usuwano przypadkami)</t>
    </r>
  </si>
  <si>
    <t>normalizacja przez standaryzacje</t>
  </si>
  <si>
    <t>normalizacja: liniowa oparta na max</t>
  </si>
  <si>
    <t>suma</t>
  </si>
  <si>
    <t>pozycja</t>
  </si>
  <si>
    <t>suma prosta rang na znormalizowanej</t>
  </si>
  <si>
    <t xml:space="preserve">można wszystie wagi 1 wtdy 1/7 </t>
  </si>
  <si>
    <t>techniki szacowania wsp wagowaych</t>
  </si>
  <si>
    <t>potencjala waga -&gt; wsp zmiennosci/suma wsp zmn</t>
  </si>
  <si>
    <t>przemnozyc przez wagi tabelke</t>
  </si>
  <si>
    <t>avg ^</t>
  </si>
  <si>
    <t>rangi znow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</si>
</sst>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0.0"/>
    <numFmt numFmtId="173" formatCode="0.0000"/>
    <numFmt numFmtId="174" formatCode="0.000000"/>
    <numFmt numFmtId="181" formatCode="0.000"/>
  </numFmts>
  <fonts count="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1"/>
      <color indexed="8"/>
      <name val="Aptos Narrow"/>
      <family val="2"/>
    </font>
    <font>
      <sz val="11"/>
      <color indexed="8"/>
      <name val="Arial"/>
      <family val="2"/>
      <charset val="238"/>
    </font>
    <font>
      <sz val="10"/>
      <color indexed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1" applyNumberFormat="1" applyFont="1" applyAlignment="1">
      <alignment horizontal="left"/>
    </xf>
    <xf numFmtId="0" fontId="5" fillId="0" borderId="0" xfId="1" applyNumberFormat="1" applyFont="1" applyAlignment="1">
      <alignment horizontal="left" vertical="top"/>
    </xf>
    <xf numFmtId="0" fontId="4" fillId="0" borderId="0" xfId="1"/>
    <xf numFmtId="0" fontId="5" fillId="0" borderId="0" xfId="1" applyNumberFormat="1" applyFont="1" applyAlignment="1">
      <alignment horizontal="center" vertical="top" wrapText="1"/>
    </xf>
    <xf numFmtId="0" fontId="5" fillId="0" borderId="0" xfId="1" applyNumberFormat="1" applyFont="1" applyAlignment="1">
      <alignment horizontal="left" vertical="center"/>
    </xf>
    <xf numFmtId="1" fontId="5" fillId="0" borderId="0" xfId="1" applyNumberFormat="1" applyFont="1" applyAlignment="1">
      <alignment horizontal="right" vertical="center"/>
    </xf>
    <xf numFmtId="172" fontId="5" fillId="0" borderId="0" xfId="1" applyNumberFormat="1" applyFont="1" applyAlignment="1">
      <alignment horizontal="right" vertical="center"/>
    </xf>
    <xf numFmtId="173" fontId="5" fillId="0" borderId="0" xfId="1" applyNumberFormat="1" applyFont="1" applyAlignment="1">
      <alignment horizontal="right" vertical="center"/>
    </xf>
    <xf numFmtId="0" fontId="5" fillId="2" borderId="0" xfId="1" applyNumberFormat="1" applyFont="1" applyFill="1" applyAlignment="1">
      <alignment horizontal="left" vertical="center"/>
    </xf>
    <xf numFmtId="1" fontId="5" fillId="2" borderId="0" xfId="1" applyNumberFormat="1" applyFont="1" applyFill="1" applyAlignment="1">
      <alignment horizontal="right" vertical="center"/>
    </xf>
    <xf numFmtId="172" fontId="5" fillId="2" borderId="0" xfId="1" applyNumberFormat="1" applyFont="1" applyFill="1" applyAlignment="1">
      <alignment horizontal="right" vertical="center"/>
    </xf>
    <xf numFmtId="173" fontId="5" fillId="2" borderId="0" xfId="1" applyNumberFormat="1" applyFont="1" applyFill="1" applyAlignment="1">
      <alignment horizontal="right" vertical="center"/>
    </xf>
    <xf numFmtId="174" fontId="5" fillId="0" borderId="0" xfId="1" applyNumberFormat="1" applyFont="1" applyAlignment="1">
      <alignment horizontal="right" vertical="center"/>
    </xf>
    <xf numFmtId="174" fontId="8" fillId="0" borderId="0" xfId="1" applyNumberFormat="1" applyFont="1" applyAlignment="1">
      <alignment horizontal="right" vertical="center"/>
    </xf>
    <xf numFmtId="0" fontId="4" fillId="0" borderId="0" xfId="1"/>
    <xf numFmtId="181" fontId="0" fillId="0" borderId="0" xfId="0" applyNumberFormat="1"/>
    <xf numFmtId="0" fontId="0" fillId="2" borderId="0" xfId="0" applyFill="1"/>
    <xf numFmtId="0" fontId="3" fillId="2" borderId="0" xfId="0" applyFont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0" fontId="4" fillId="0" borderId="0" xfId="1" applyAlignment="1">
      <alignment horizontal="left" vertical="center" wrapText="1"/>
    </xf>
  </cellXfs>
  <cellStyles count="2">
    <cellStyle name="Normalny" xfId="0" builtinId="0"/>
    <cellStyle name="Normalny_Arkusz1" xfId="1" xr:uid="{AB38417E-7141-41C2-BA17-6691B8DCB2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44</xdr:row>
      <xdr:rowOff>0</xdr:rowOff>
    </xdr:from>
    <xdr:to>
      <xdr:col>17</xdr:col>
      <xdr:colOff>1171575</xdr:colOff>
      <xdr:row>44</xdr:row>
      <xdr:rowOff>499503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42048DD1-4FE5-F457-2938-EA1780D63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69125" y="10096500"/>
          <a:ext cx="5981700" cy="499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5EAE-22EF-4CEE-97D1-0E03B3118A22}">
  <dimension ref="A2:S74"/>
  <sheetViews>
    <sheetView tabSelected="1" topLeftCell="D26" zoomScale="85" zoomScaleNormal="85" workbookViewId="0">
      <selection activeCell="O59" sqref="O59"/>
    </sheetView>
  </sheetViews>
  <sheetFormatPr defaultRowHeight="15" x14ac:dyDescent="0.25"/>
  <cols>
    <col min="1" max="1" width="23.140625" bestFit="1" customWidth="1"/>
    <col min="2" max="2" width="41.85546875" customWidth="1"/>
    <col min="3" max="3" width="25" customWidth="1"/>
    <col min="4" max="4" width="24.7109375" customWidth="1"/>
    <col min="5" max="5" width="29.28515625" bestFit="1" customWidth="1"/>
    <col min="6" max="6" width="20" bestFit="1" customWidth="1"/>
    <col min="7" max="7" width="16.42578125" bestFit="1" customWidth="1"/>
    <col min="8" max="8" width="41.140625" bestFit="1" customWidth="1"/>
    <col min="9" max="9" width="19.85546875" bestFit="1" customWidth="1"/>
    <col min="10" max="10" width="18.140625" customWidth="1"/>
    <col min="11" max="11" width="13.85546875" bestFit="1" customWidth="1"/>
    <col min="12" max="12" width="21.5703125" customWidth="1"/>
    <col min="13" max="17" width="14.42578125" bestFit="1" customWidth="1"/>
    <col min="18" max="18" width="25" customWidth="1"/>
    <col min="19" max="19" width="22" customWidth="1"/>
    <col min="20" max="20" width="11.28515625" customWidth="1"/>
  </cols>
  <sheetData>
    <row r="2" spans="1:19" x14ac:dyDescent="0.25">
      <c r="B2" t="s">
        <v>40</v>
      </c>
      <c r="C2">
        <v>2024</v>
      </c>
    </row>
    <row r="6" spans="1:19" ht="75" x14ac:dyDescent="0.25">
      <c r="C6" s="4" t="s">
        <v>0</v>
      </c>
      <c r="D6" s="3" t="s">
        <v>19</v>
      </c>
      <c r="E6" s="4" t="s">
        <v>20</v>
      </c>
      <c r="F6" s="3" t="s">
        <v>21</v>
      </c>
      <c r="G6" s="27" t="s">
        <v>22</v>
      </c>
      <c r="H6" s="23" t="s">
        <v>37</v>
      </c>
      <c r="I6" s="5" t="s">
        <v>38</v>
      </c>
      <c r="J6" s="5" t="s">
        <v>39</v>
      </c>
    </row>
    <row r="7" spans="1:19" ht="45" x14ac:dyDescent="0.25">
      <c r="C7" t="s">
        <v>41</v>
      </c>
      <c r="D7" t="s">
        <v>42</v>
      </c>
      <c r="E7" t="s">
        <v>43</v>
      </c>
      <c r="F7" t="s">
        <v>21</v>
      </c>
      <c r="G7" s="27" t="s">
        <v>44</v>
      </c>
      <c r="H7" s="22" t="s">
        <v>45</v>
      </c>
      <c r="I7" t="s">
        <v>46</v>
      </c>
      <c r="J7" t="s">
        <v>47</v>
      </c>
      <c r="L7" s="24" t="s">
        <v>66</v>
      </c>
      <c r="M7" s="2" t="s">
        <v>41</v>
      </c>
      <c r="N7" s="2" t="s">
        <v>42</v>
      </c>
      <c r="O7" s="2" t="s">
        <v>43</v>
      </c>
      <c r="P7" s="2" t="s">
        <v>21</v>
      </c>
      <c r="Q7" s="2" t="s">
        <v>44</v>
      </c>
      <c r="R7" s="2" t="s">
        <v>46</v>
      </c>
      <c r="S7" s="2" t="s">
        <v>47</v>
      </c>
    </row>
    <row r="8" spans="1:19" x14ac:dyDescent="0.25">
      <c r="A8" t="s">
        <v>23</v>
      </c>
      <c r="B8" t="s">
        <v>17</v>
      </c>
      <c r="C8">
        <v>562.80999999999995</v>
      </c>
      <c r="D8">
        <v>65.5</v>
      </c>
      <c r="E8">
        <v>12.2</v>
      </c>
      <c r="F8">
        <v>1535</v>
      </c>
      <c r="G8" s="27">
        <v>4.5999999999999996</v>
      </c>
      <c r="H8" s="22">
        <v>3058.87</v>
      </c>
      <c r="I8">
        <v>792886</v>
      </c>
      <c r="J8">
        <v>622481</v>
      </c>
      <c r="L8" t="s">
        <v>17</v>
      </c>
      <c r="M8" s="21">
        <f>(C8-$D$30)/$H$30</f>
        <v>1.7139717400098056</v>
      </c>
      <c r="N8" s="21">
        <f>(D8-$D$31)/$H$31</f>
        <v>0.61649854436097651</v>
      </c>
      <c r="O8" s="21">
        <f>(E8-$D$32)/$H$32</f>
        <v>-0.65230288718375951</v>
      </c>
      <c r="P8" s="21">
        <f>(F8-$D$33)/$H$33</f>
        <v>0.99302915100217892</v>
      </c>
      <c r="Q8" s="21">
        <f>(G8-$D$34)/$H$34</f>
        <v>-0.65871784588101268</v>
      </c>
      <c r="R8" s="21">
        <f>(I8-$D$36)/$H$36</f>
        <v>0.47765200050577544</v>
      </c>
      <c r="S8" s="21">
        <f>(J8-$D$37)/$H$37</f>
        <v>0.14437639986228951</v>
      </c>
    </row>
    <row r="9" spans="1:19" x14ac:dyDescent="0.25">
      <c r="A9" t="s">
        <v>24</v>
      </c>
      <c r="B9" t="s">
        <v>9</v>
      </c>
      <c r="C9">
        <v>405.35</v>
      </c>
      <c r="D9">
        <v>39.6</v>
      </c>
      <c r="E9">
        <v>18.3</v>
      </c>
      <c r="F9">
        <v>854</v>
      </c>
      <c r="G9" s="27">
        <v>7.3</v>
      </c>
      <c r="H9" s="22">
        <v>2957.75</v>
      </c>
      <c r="I9">
        <v>99380</v>
      </c>
      <c r="J9">
        <v>434520</v>
      </c>
      <c r="L9" t="s">
        <v>9</v>
      </c>
      <c r="M9" s="21">
        <f t="shared" ref="M9:M23" si="0">(C9-$D$30)/$H$30</f>
        <v>0.19773286907950818</v>
      </c>
      <c r="N9" s="21">
        <f t="shared" ref="N9:N23" si="1">(D9-$D$31)/$H$31</f>
        <v>-0.99331239945243721</v>
      </c>
      <c r="O9" s="21">
        <f t="shared" ref="O9:O23" si="2">(E9-$D$32)/$H$32</f>
        <v>0.73775741388905558</v>
      </c>
      <c r="P9" s="21">
        <f t="shared" ref="P9:P23" si="3">(F9-$D$33)/$H$33</f>
        <v>-0.3683253569645733</v>
      </c>
      <c r="Q9" s="21">
        <f t="shared" ref="Q9:Q23" si="4">(G9-$D$34)/$H$34</f>
        <v>0.82339730735126582</v>
      </c>
      <c r="R9" s="21">
        <f t="shared" ref="R9:R23" si="5">(I9-$D$36)/$H$36</f>
        <v>-0.6240834486165967</v>
      </c>
      <c r="S9" s="21">
        <f t="shared" ref="S9:S23" si="6">(J9-$D$37)/$H$37</f>
        <v>-0.84996735165432913</v>
      </c>
    </row>
    <row r="10" spans="1:19" x14ac:dyDescent="0.25">
      <c r="A10" t="s">
        <v>25</v>
      </c>
      <c r="B10" t="s">
        <v>10</v>
      </c>
      <c r="C10">
        <v>290.87</v>
      </c>
      <c r="D10">
        <v>42.2</v>
      </c>
      <c r="E10">
        <v>16.7</v>
      </c>
      <c r="F10">
        <v>797</v>
      </c>
      <c r="G10" s="27">
        <v>7.4</v>
      </c>
      <c r="H10" s="22">
        <v>2824.07</v>
      </c>
      <c r="I10">
        <v>146177</v>
      </c>
      <c r="J10">
        <v>596191</v>
      </c>
      <c r="L10" t="s">
        <v>10</v>
      </c>
      <c r="M10" s="21">
        <f t="shared" si="0"/>
        <v>-0.90463615126915542</v>
      </c>
      <c r="N10" s="21">
        <f t="shared" si="1"/>
        <v>-0.8317097564441408</v>
      </c>
      <c r="O10" s="21">
        <f t="shared" si="2"/>
        <v>0.37315143327979233</v>
      </c>
      <c r="P10" s="21">
        <f t="shared" si="3"/>
        <v>-0.48227132899703273</v>
      </c>
      <c r="Q10" s="21">
        <f t="shared" si="4"/>
        <v>0.87829046117468379</v>
      </c>
      <c r="R10" s="21">
        <f t="shared" si="5"/>
        <v>-0.54973958740619677</v>
      </c>
      <c r="S10" s="21">
        <f t="shared" si="6"/>
        <v>5.2980951747644113E-3</v>
      </c>
    </row>
    <row r="11" spans="1:19" x14ac:dyDescent="0.25">
      <c r="A11" t="s">
        <v>6</v>
      </c>
      <c r="B11" t="s">
        <v>7</v>
      </c>
      <c r="C11">
        <v>283.2</v>
      </c>
      <c r="D11">
        <v>47.5</v>
      </c>
      <c r="E11">
        <v>11.9</v>
      </c>
      <c r="F11">
        <v>491</v>
      </c>
      <c r="G11" s="27">
        <v>4.5</v>
      </c>
      <c r="H11" s="22">
        <v>3201.06</v>
      </c>
      <c r="I11">
        <v>156868</v>
      </c>
      <c r="J11">
        <v>683216</v>
      </c>
      <c r="L11" t="s">
        <v>7</v>
      </c>
      <c r="M11" s="21">
        <f t="shared" si="0"/>
        <v>-0.97849333493507318</v>
      </c>
      <c r="N11" s="21">
        <f t="shared" si="1"/>
        <v>-0.50228898415799839</v>
      </c>
      <c r="O11" s="21">
        <f t="shared" si="2"/>
        <v>-0.72066650854799608</v>
      </c>
      <c r="P11" s="21">
        <f t="shared" si="3"/>
        <v>-1.0939812841186571</v>
      </c>
      <c r="Q11" s="21">
        <f t="shared" si="4"/>
        <v>-0.7136109997044302</v>
      </c>
      <c r="R11" s="21">
        <f t="shared" si="5"/>
        <v>-0.53275537431133202</v>
      </c>
      <c r="S11" s="21">
        <f t="shared" si="6"/>
        <v>0.46567426350614022</v>
      </c>
    </row>
    <row r="12" spans="1:19" x14ac:dyDescent="0.25">
      <c r="A12" t="s">
        <v>26</v>
      </c>
      <c r="B12" t="s">
        <v>14</v>
      </c>
      <c r="C12">
        <v>408.14</v>
      </c>
      <c r="D12">
        <v>94.9</v>
      </c>
      <c r="E12">
        <v>17.8</v>
      </c>
      <c r="F12">
        <v>949</v>
      </c>
      <c r="G12" s="27">
        <v>5.4</v>
      </c>
      <c r="H12" s="22">
        <v>3085.87</v>
      </c>
      <c r="I12">
        <v>155043</v>
      </c>
      <c r="J12">
        <v>395689</v>
      </c>
      <c r="L12" t="s">
        <v>14</v>
      </c>
      <c r="M12" s="21">
        <f t="shared" si="0"/>
        <v>0.22459878073894854</v>
      </c>
      <c r="N12" s="21">
        <f t="shared" si="1"/>
        <v>2.4438515076086356</v>
      </c>
      <c r="O12" s="21">
        <f t="shared" si="2"/>
        <v>0.62381804494866089</v>
      </c>
      <c r="P12" s="21">
        <f t="shared" si="3"/>
        <v>-0.17841540357714089</v>
      </c>
      <c r="Q12" s="21">
        <f t="shared" si="4"/>
        <v>-0.21957261529367059</v>
      </c>
      <c r="R12" s="21">
        <f t="shared" si="5"/>
        <v>-0.53565465304092963</v>
      </c>
      <c r="S12" s="21">
        <f t="shared" si="6"/>
        <v>-1.0553895520849601</v>
      </c>
    </row>
    <row r="13" spans="1:19" x14ac:dyDescent="0.25">
      <c r="A13" t="s">
        <v>27</v>
      </c>
      <c r="B13" t="s">
        <v>13</v>
      </c>
      <c r="C13">
        <v>320.33</v>
      </c>
      <c r="D13">
        <v>72.099999999999994</v>
      </c>
      <c r="E13">
        <v>15.8</v>
      </c>
      <c r="F13">
        <v>1574</v>
      </c>
      <c r="G13" s="27">
        <v>4.0999999999999996</v>
      </c>
      <c r="H13" s="22">
        <v>3218.86</v>
      </c>
      <c r="I13">
        <v>2038071</v>
      </c>
      <c r="J13">
        <v>458485</v>
      </c>
      <c r="L13" t="s">
        <v>13</v>
      </c>
      <c r="M13" s="21">
        <f t="shared" si="0"/>
        <v>-0.62095523460710433</v>
      </c>
      <c r="N13" s="21">
        <f t="shared" si="1"/>
        <v>1.026720638151267</v>
      </c>
      <c r="O13" s="21">
        <f t="shared" si="2"/>
        <v>0.16806056918708226</v>
      </c>
      <c r="P13" s="21">
        <f t="shared" si="3"/>
        <v>1.0709921844980723</v>
      </c>
      <c r="Q13" s="21">
        <f t="shared" si="4"/>
        <v>-0.93318361499810132</v>
      </c>
      <c r="R13" s="21">
        <f t="shared" si="5"/>
        <v>2.4558100196367434</v>
      </c>
      <c r="S13" s="21">
        <f t="shared" si="6"/>
        <v>-0.72318866881535848</v>
      </c>
    </row>
    <row r="14" spans="1:19" x14ac:dyDescent="0.25">
      <c r="A14" t="s">
        <v>28</v>
      </c>
      <c r="B14" t="s">
        <v>15</v>
      </c>
      <c r="C14">
        <v>425.08</v>
      </c>
      <c r="D14">
        <v>52</v>
      </c>
      <c r="E14">
        <v>10.199999999999999</v>
      </c>
      <c r="F14">
        <v>1880</v>
      </c>
      <c r="G14" s="27">
        <v>4</v>
      </c>
      <c r="H14" s="22">
        <v>3555.13</v>
      </c>
      <c r="I14">
        <v>1863813</v>
      </c>
      <c r="J14">
        <v>847720</v>
      </c>
      <c r="L14" t="s">
        <v>15</v>
      </c>
      <c r="M14" s="21">
        <f t="shared" si="0"/>
        <v>0.38772012249913684</v>
      </c>
      <c r="N14" s="21">
        <f t="shared" si="1"/>
        <v>-0.22259210202825463</v>
      </c>
      <c r="O14" s="21">
        <f t="shared" si="2"/>
        <v>-1.1080603629453381</v>
      </c>
      <c r="P14" s="21">
        <f t="shared" si="3"/>
        <v>1.6827021396196966</v>
      </c>
      <c r="Q14" s="21">
        <f t="shared" si="4"/>
        <v>-0.98807676882151885</v>
      </c>
      <c r="R14" s="21">
        <f t="shared" si="5"/>
        <v>2.1789757660136075</v>
      </c>
      <c r="S14" s="21">
        <f t="shared" si="6"/>
        <v>1.3359267334306981</v>
      </c>
    </row>
    <row r="15" spans="1:19" x14ac:dyDescent="0.25">
      <c r="A15" t="s">
        <v>29</v>
      </c>
      <c r="B15" t="s">
        <v>16</v>
      </c>
      <c r="C15">
        <v>535.75</v>
      </c>
      <c r="D15">
        <v>52.9</v>
      </c>
      <c r="E15">
        <v>12.4</v>
      </c>
      <c r="F15">
        <v>531</v>
      </c>
      <c r="G15" s="27">
        <v>5.9</v>
      </c>
      <c r="H15" s="22">
        <v>2465.21</v>
      </c>
      <c r="I15">
        <v>37289</v>
      </c>
      <c r="J15">
        <v>260742</v>
      </c>
      <c r="L15" t="s">
        <v>16</v>
      </c>
      <c r="M15" s="21">
        <f t="shared" si="0"/>
        <v>1.4534012849902846</v>
      </c>
      <c r="N15" s="21">
        <f t="shared" si="1"/>
        <v>-0.16665272560230598</v>
      </c>
      <c r="O15" s="21">
        <f t="shared" si="2"/>
        <v>-0.60672713960760138</v>
      </c>
      <c r="P15" s="21">
        <f t="shared" si="3"/>
        <v>-1.0140191984818434</v>
      </c>
      <c r="Q15" s="21">
        <f t="shared" si="4"/>
        <v>5.4893153823418007E-2</v>
      </c>
      <c r="R15" s="21">
        <f t="shared" si="5"/>
        <v>-0.72272405990396438</v>
      </c>
      <c r="S15" s="21">
        <f t="shared" si="6"/>
        <v>-1.7692807648147983</v>
      </c>
    </row>
    <row r="16" spans="1:19" x14ac:dyDescent="0.25">
      <c r="A16" t="s">
        <v>30</v>
      </c>
      <c r="B16" t="s">
        <v>12</v>
      </c>
      <c r="C16">
        <v>388.2</v>
      </c>
      <c r="D16">
        <v>49.1</v>
      </c>
      <c r="E16">
        <v>13.3</v>
      </c>
      <c r="F16">
        <v>1342</v>
      </c>
      <c r="G16" s="27">
        <v>8.6999999999999993</v>
      </c>
      <c r="H16" s="22">
        <v>2784.19</v>
      </c>
      <c r="I16">
        <v>153428</v>
      </c>
      <c r="J16">
        <v>696338</v>
      </c>
      <c r="L16" t="s">
        <v>12</v>
      </c>
      <c r="M16" s="21">
        <f t="shared" si="0"/>
        <v>3.2589361925598206E-2</v>
      </c>
      <c r="N16" s="21">
        <f t="shared" si="1"/>
        <v>-0.4028412038452005</v>
      </c>
      <c r="O16" s="21">
        <f t="shared" si="2"/>
        <v>-0.40163627551489101</v>
      </c>
      <c r="P16" s="21">
        <f t="shared" si="3"/>
        <v>0.60721208780455316</v>
      </c>
      <c r="Q16" s="21">
        <f t="shared" si="4"/>
        <v>1.5919014608791136</v>
      </c>
      <c r="R16" s="21">
        <f t="shared" si="5"/>
        <v>-0.53822031613588861</v>
      </c>
      <c r="S16" s="21">
        <f t="shared" si="6"/>
        <v>0.53509174217140099</v>
      </c>
    </row>
    <row r="17" spans="1:19" x14ac:dyDescent="0.25">
      <c r="A17" t="s">
        <v>31</v>
      </c>
      <c r="B17" t="s">
        <v>1</v>
      </c>
      <c r="C17">
        <v>399.06</v>
      </c>
      <c r="D17">
        <v>30.6</v>
      </c>
      <c r="E17">
        <v>25.5</v>
      </c>
      <c r="F17">
        <v>425</v>
      </c>
      <c r="G17" s="27">
        <v>7</v>
      </c>
      <c r="H17" s="22">
        <v>3202.61</v>
      </c>
      <c r="I17">
        <v>86423</v>
      </c>
      <c r="J17">
        <v>644311</v>
      </c>
      <c r="L17" t="s">
        <v>1</v>
      </c>
      <c r="M17" s="21">
        <f t="shared" si="0"/>
        <v>0.13716420085804493</v>
      </c>
      <c r="N17" s="21">
        <f t="shared" si="1"/>
        <v>-1.5527061637119246</v>
      </c>
      <c r="O17" s="21">
        <f t="shared" si="2"/>
        <v>2.3784843266307383</v>
      </c>
      <c r="P17" s="21">
        <f t="shared" si="3"/>
        <v>-1.2259187254193995</v>
      </c>
      <c r="Q17" s="21">
        <f t="shared" si="4"/>
        <v>0.65871784588101268</v>
      </c>
      <c r="R17" s="21">
        <f t="shared" si="5"/>
        <v>-0.64466753327380022</v>
      </c>
      <c r="S17" s="21">
        <f t="shared" si="6"/>
        <v>0.25986059124032956</v>
      </c>
    </row>
    <row r="18" spans="1:19" x14ac:dyDescent="0.25">
      <c r="A18" t="s">
        <v>32</v>
      </c>
      <c r="B18" t="s">
        <v>4</v>
      </c>
      <c r="C18">
        <v>302.5</v>
      </c>
      <c r="D18">
        <v>71.400000000000006</v>
      </c>
      <c r="E18">
        <v>13.9</v>
      </c>
      <c r="F18">
        <v>1069</v>
      </c>
      <c r="G18" s="27">
        <v>4.5999999999999996</v>
      </c>
      <c r="H18" s="22">
        <v>3117.09</v>
      </c>
      <c r="I18">
        <v>681991</v>
      </c>
      <c r="J18">
        <v>689141</v>
      </c>
      <c r="L18" t="s">
        <v>4</v>
      </c>
      <c r="M18" s="21">
        <f t="shared" si="0"/>
        <v>-0.79264670589306396</v>
      </c>
      <c r="N18" s="21">
        <f t="shared" si="1"/>
        <v>0.98321223426441862</v>
      </c>
      <c r="O18" s="21">
        <f t="shared" si="2"/>
        <v>-0.26490903278641748</v>
      </c>
      <c r="P18" s="21">
        <f t="shared" si="3"/>
        <v>6.1470853333300032E-2</v>
      </c>
      <c r="Q18" s="21">
        <f t="shared" si="4"/>
        <v>-0.65871784588101268</v>
      </c>
      <c r="R18" s="21">
        <f t="shared" si="5"/>
        <v>0.30147911572838998</v>
      </c>
      <c r="S18" s="21">
        <f t="shared" si="6"/>
        <v>0.49701846112019832</v>
      </c>
    </row>
    <row r="19" spans="1:19" x14ac:dyDescent="0.25">
      <c r="A19" t="s">
        <v>33</v>
      </c>
      <c r="B19" t="s">
        <v>18</v>
      </c>
      <c r="C19">
        <v>432.04</v>
      </c>
      <c r="D19">
        <v>41.5</v>
      </c>
      <c r="E19">
        <v>7.6</v>
      </c>
      <c r="F19">
        <v>1614</v>
      </c>
      <c r="G19" s="27">
        <v>3.6</v>
      </c>
      <c r="H19" s="22">
        <v>3162.66</v>
      </c>
      <c r="I19">
        <v>372920</v>
      </c>
      <c r="J19">
        <v>410871</v>
      </c>
      <c r="L19" t="s">
        <v>18</v>
      </c>
      <c r="M19" s="21">
        <f t="shared" si="0"/>
        <v>0.45474046126247314</v>
      </c>
      <c r="N19" s="21">
        <f t="shared" si="1"/>
        <v>-0.87521816033098998</v>
      </c>
      <c r="O19" s="21">
        <f t="shared" si="2"/>
        <v>-1.7005450814353902</v>
      </c>
      <c r="P19" s="21">
        <f t="shared" si="3"/>
        <v>1.1509542701348858</v>
      </c>
      <c r="Q19" s="21">
        <f t="shared" si="4"/>
        <v>-1.2076493841151896</v>
      </c>
      <c r="R19" s="21">
        <f t="shared" si="5"/>
        <v>-0.18952525481159191</v>
      </c>
      <c r="S19" s="21">
        <f t="shared" si="6"/>
        <v>-0.97507434395388337</v>
      </c>
    </row>
    <row r="20" spans="1:19" x14ac:dyDescent="0.25">
      <c r="A20" t="s">
        <v>34</v>
      </c>
      <c r="B20" t="s">
        <v>11</v>
      </c>
      <c r="C20">
        <v>293.19</v>
      </c>
      <c r="D20">
        <v>57.2</v>
      </c>
      <c r="E20">
        <v>14.4</v>
      </c>
      <c r="F20">
        <v>375</v>
      </c>
      <c r="G20" s="27">
        <v>7.6</v>
      </c>
      <c r="H20" s="22">
        <v>2819.66</v>
      </c>
      <c r="I20">
        <v>35379</v>
      </c>
      <c r="J20">
        <v>339239</v>
      </c>
      <c r="L20" t="s">
        <v>11</v>
      </c>
      <c r="M20" s="21">
        <f t="shared" si="0"/>
        <v>-0.88229603834804349</v>
      </c>
      <c r="N20" s="21">
        <f t="shared" si="1"/>
        <v>0.10061318398833828</v>
      </c>
      <c r="O20" s="21">
        <f t="shared" si="2"/>
        <v>-0.15096966384602284</v>
      </c>
      <c r="P20" s="21">
        <f t="shared" si="3"/>
        <v>-1.3258713324654166</v>
      </c>
      <c r="Q20" s="21">
        <f t="shared" si="4"/>
        <v>0.98807676882151885</v>
      </c>
      <c r="R20" s="21">
        <f t="shared" si="5"/>
        <v>-0.72575837353329675</v>
      </c>
      <c r="S20" s="21">
        <f t="shared" si="6"/>
        <v>-1.3540190804079266</v>
      </c>
    </row>
    <row r="21" spans="1:19" x14ac:dyDescent="0.25">
      <c r="A21" t="s">
        <v>2</v>
      </c>
      <c r="B21" t="s">
        <v>3</v>
      </c>
      <c r="C21">
        <v>297.02999999999997</v>
      </c>
      <c r="D21">
        <v>56</v>
      </c>
      <c r="E21">
        <v>21.8</v>
      </c>
      <c r="F21">
        <v>555</v>
      </c>
      <c r="G21" s="27">
        <v>8.4</v>
      </c>
      <c r="H21" s="22">
        <v>2850.34</v>
      </c>
      <c r="I21">
        <v>102652</v>
      </c>
      <c r="J21">
        <v>798982</v>
      </c>
      <c r="L21" t="s">
        <v>3</v>
      </c>
      <c r="M21" s="21">
        <f t="shared" si="0"/>
        <v>-0.84531929971999631</v>
      </c>
      <c r="N21" s="21">
        <f t="shared" si="1"/>
        <v>2.6027348753739774E-2</v>
      </c>
      <c r="O21" s="21">
        <f t="shared" si="2"/>
        <v>1.5353329964718181</v>
      </c>
      <c r="P21" s="21">
        <f t="shared" si="3"/>
        <v>-0.96604194709975522</v>
      </c>
      <c r="Q21" s="21">
        <f t="shared" si="4"/>
        <v>1.4272219994088609</v>
      </c>
      <c r="R21" s="21">
        <f t="shared" si="5"/>
        <v>-0.61888539929975106</v>
      </c>
      <c r="S21" s="21">
        <f t="shared" si="6"/>
        <v>1.0780949185253883</v>
      </c>
    </row>
    <row r="22" spans="1:19" x14ac:dyDescent="0.25">
      <c r="A22" t="s">
        <v>35</v>
      </c>
      <c r="B22" s="1" t="s">
        <v>8</v>
      </c>
      <c r="C22">
        <v>572.77</v>
      </c>
      <c r="D22">
        <v>70.900000000000006</v>
      </c>
      <c r="E22">
        <v>13.3</v>
      </c>
      <c r="F22">
        <v>1651</v>
      </c>
      <c r="G22" s="27">
        <v>2.9</v>
      </c>
      <c r="H22" s="22">
        <v>3007.67</v>
      </c>
      <c r="I22">
        <v>284604</v>
      </c>
      <c r="J22">
        <v>793508</v>
      </c>
      <c r="L22" s="1" t="s">
        <v>8</v>
      </c>
      <c r="M22" s="21">
        <f t="shared" si="0"/>
        <v>1.809880155826304</v>
      </c>
      <c r="N22" s="21">
        <f t="shared" si="1"/>
        <v>0.9521348029166693</v>
      </c>
      <c r="O22" s="21">
        <f t="shared" si="2"/>
        <v>-0.40163627551489101</v>
      </c>
      <c r="P22" s="21">
        <f t="shared" si="3"/>
        <v>1.2249191993489386</v>
      </c>
      <c r="Q22" s="21">
        <f t="shared" si="4"/>
        <v>-1.5919014608791138</v>
      </c>
      <c r="R22" s="21">
        <f t="shared" si="5"/>
        <v>-0.32982810428180764</v>
      </c>
      <c r="S22" s="21">
        <f t="shared" si="6"/>
        <v>1.049136583041953</v>
      </c>
    </row>
    <row r="23" spans="1:19" x14ac:dyDescent="0.25">
      <c r="A23" t="s">
        <v>36</v>
      </c>
      <c r="B23" t="s">
        <v>5</v>
      </c>
      <c r="C23">
        <v>240.73</v>
      </c>
      <c r="D23">
        <v>45.9</v>
      </c>
      <c r="E23">
        <v>15.9</v>
      </c>
      <c r="F23">
        <v>970</v>
      </c>
      <c r="G23" s="27">
        <v>6.8</v>
      </c>
      <c r="H23" s="22">
        <v>3050.18</v>
      </c>
      <c r="I23">
        <v>868594</v>
      </c>
      <c r="J23">
        <v>851598</v>
      </c>
      <c r="L23" t="s">
        <v>5</v>
      </c>
      <c r="M23" s="21">
        <f t="shared" si="0"/>
        <v>-1.3874522124176705</v>
      </c>
      <c r="N23" s="21">
        <f t="shared" si="1"/>
        <v>-0.60173676447079616</v>
      </c>
      <c r="O23" s="21">
        <f t="shared" si="2"/>
        <v>0.19084844297516113</v>
      </c>
      <c r="P23" s="21">
        <f t="shared" si="3"/>
        <v>-0.13643530861781372</v>
      </c>
      <c r="Q23" s="21">
        <f t="shared" si="4"/>
        <v>0.54893153823417717</v>
      </c>
      <c r="R23" s="21">
        <f t="shared" si="5"/>
        <v>0.59792520273063943</v>
      </c>
      <c r="S23" s="21">
        <f t="shared" si="6"/>
        <v>1.3564419736580935</v>
      </c>
    </row>
    <row r="24" spans="1:19" x14ac:dyDescent="0.25">
      <c r="G24" s="27"/>
      <c r="M24" s="21"/>
    </row>
    <row r="26" spans="1:19" ht="45" x14ac:dyDescent="0.25">
      <c r="L26" s="26" t="s">
        <v>67</v>
      </c>
      <c r="M26" s="2" t="s">
        <v>41</v>
      </c>
      <c r="N26" s="2" t="s">
        <v>42</v>
      </c>
      <c r="O26" s="2" t="s">
        <v>43</v>
      </c>
      <c r="P26" s="2" t="s">
        <v>21</v>
      </c>
      <c r="Q26" s="2" t="s">
        <v>44</v>
      </c>
      <c r="R26" s="2" t="s">
        <v>46</v>
      </c>
      <c r="S26" s="2" t="s">
        <v>47</v>
      </c>
    </row>
    <row r="27" spans="1:19" x14ac:dyDescent="0.25">
      <c r="L27" t="s">
        <v>17</v>
      </c>
      <c r="M27" s="21">
        <f>C8/$F$30</f>
        <v>0.98261082109747366</v>
      </c>
      <c r="N27" s="21">
        <f>1-(D8/$F$31)</f>
        <v>0.30979978925184404</v>
      </c>
      <c r="O27" s="21">
        <f>1-(E8/$F$32)</f>
        <v>0.52156862745098043</v>
      </c>
      <c r="P27" s="21">
        <f>F8/$F$33</f>
        <v>0.81648936170212771</v>
      </c>
      <c r="Q27" s="21">
        <f>1-(G8/$F$34)</f>
        <v>0.47126436781609193</v>
      </c>
      <c r="R27" s="21">
        <f>I8/$F$36</f>
        <v>0.38903747710457587</v>
      </c>
      <c r="S27" s="21">
        <f>J8/$F$37</f>
        <v>0.73095639022167735</v>
      </c>
    </row>
    <row r="28" spans="1:19" x14ac:dyDescent="0.25">
      <c r="B28" s="6" t="s">
        <v>48</v>
      </c>
      <c r="C28" s="7" t="s">
        <v>49</v>
      </c>
      <c r="D28" s="8"/>
      <c r="E28" s="8"/>
      <c r="F28" s="8"/>
      <c r="G28" s="8"/>
      <c r="H28" s="8"/>
      <c r="I28" s="8"/>
      <c r="L28" t="s">
        <v>9</v>
      </c>
      <c r="M28" s="21">
        <f t="shared" ref="M28:M42" si="7">C9/$F$30</f>
        <v>0.70770117149990408</v>
      </c>
      <c r="N28" s="21">
        <f t="shared" ref="N28:N42" si="8">1-(D9/$F$31)</f>
        <v>0.58271865121180189</v>
      </c>
      <c r="O28" s="21">
        <f t="shared" ref="O28:O42" si="9">1-(E9/$F$32)</f>
        <v>0.28235294117647058</v>
      </c>
      <c r="P28" s="21">
        <f t="shared" ref="P28:P42" si="10">F9/$F$33</f>
        <v>0.45425531914893619</v>
      </c>
      <c r="Q28" s="21">
        <f t="shared" ref="Q28:Q42" si="11">1-(G9/$F$34)</f>
        <v>0.16091954022988497</v>
      </c>
      <c r="R28" s="21">
        <f t="shared" ref="R28:R42" si="12">I9/$F$36</f>
        <v>4.8761794854055622E-2</v>
      </c>
      <c r="S28" s="21">
        <f t="shared" ref="S28:S42" si="13">J9/$F$37</f>
        <v>0.51024074739489755</v>
      </c>
    </row>
    <row r="29" spans="1:19" x14ac:dyDescent="0.25">
      <c r="B29" s="8"/>
      <c r="C29" s="9" t="s">
        <v>50</v>
      </c>
      <c r="D29" s="9" t="s">
        <v>51</v>
      </c>
      <c r="E29" s="9" t="s">
        <v>52</v>
      </c>
      <c r="F29" s="9" t="s">
        <v>53</v>
      </c>
      <c r="G29" s="9" t="s">
        <v>54</v>
      </c>
      <c r="H29" s="9" t="s">
        <v>55</v>
      </c>
      <c r="I29" s="9" t="s">
        <v>56</v>
      </c>
      <c r="L29" t="s">
        <v>10</v>
      </c>
      <c r="M29" s="21">
        <f t="shared" si="7"/>
        <v>0.50783036821062555</v>
      </c>
      <c r="N29" s="21">
        <f t="shared" si="8"/>
        <v>0.55532139093782928</v>
      </c>
      <c r="O29" s="21">
        <f t="shared" si="9"/>
        <v>0.34509803921568627</v>
      </c>
      <c r="P29" s="21">
        <f t="shared" si="10"/>
        <v>0.42393617021276597</v>
      </c>
      <c r="Q29" s="21">
        <f t="shared" si="11"/>
        <v>0.14942528735632177</v>
      </c>
      <c r="R29" s="21">
        <f t="shared" si="12"/>
        <v>7.1723212783067911E-2</v>
      </c>
      <c r="S29" s="21">
        <f t="shared" si="13"/>
        <v>0.70008501663930633</v>
      </c>
    </row>
    <row r="30" spans="1:19" x14ac:dyDescent="0.25">
      <c r="B30" s="10" t="s">
        <v>57</v>
      </c>
      <c r="C30" s="11">
        <v>16</v>
      </c>
      <c r="D30" s="12">
        <v>384.81562500000001</v>
      </c>
      <c r="E30" s="12">
        <v>240.73</v>
      </c>
      <c r="F30" s="11">
        <v>572.77</v>
      </c>
      <c r="G30" s="11">
        <v>332.03999999999996</v>
      </c>
      <c r="H30" s="12">
        <v>103.84907221339695</v>
      </c>
      <c r="I30" s="13">
        <v>26.986708820203688</v>
      </c>
      <c r="L30" t="s">
        <v>7</v>
      </c>
      <c r="M30" s="21">
        <f t="shared" si="7"/>
        <v>0.4944393037344833</v>
      </c>
      <c r="N30" s="21">
        <f t="shared" si="8"/>
        <v>0.49947312961011592</v>
      </c>
      <c r="O30" s="21">
        <f t="shared" si="9"/>
        <v>0.53333333333333333</v>
      </c>
      <c r="P30" s="21">
        <f t="shared" si="10"/>
        <v>0.26117021276595742</v>
      </c>
      <c r="Q30" s="21">
        <f t="shared" si="11"/>
        <v>0.48275862068965514</v>
      </c>
      <c r="R30" s="21">
        <f t="shared" si="12"/>
        <v>7.6968859279190963E-2</v>
      </c>
      <c r="S30" s="21">
        <f t="shared" si="13"/>
        <v>0.80227525193812099</v>
      </c>
    </row>
    <row r="31" spans="1:19" x14ac:dyDescent="0.25">
      <c r="B31" s="10" t="s">
        <v>58</v>
      </c>
      <c r="C31" s="11">
        <v>16</v>
      </c>
      <c r="D31" s="12">
        <v>55.581250000000004</v>
      </c>
      <c r="E31" s="12">
        <v>30.6</v>
      </c>
      <c r="F31" s="11">
        <v>94.9</v>
      </c>
      <c r="G31" s="11">
        <v>64.300000000000011</v>
      </c>
      <c r="H31" s="12">
        <v>16.088845773806565</v>
      </c>
      <c r="I31" s="13">
        <v>28.946534620589791</v>
      </c>
      <c r="L31" t="s">
        <v>14</v>
      </c>
      <c r="M31" s="21">
        <f t="shared" si="7"/>
        <v>0.71257223667440683</v>
      </c>
      <c r="N31" s="21">
        <f t="shared" si="8"/>
        <v>0</v>
      </c>
      <c r="O31" s="21">
        <f t="shared" si="9"/>
        <v>0.30196078431372542</v>
      </c>
      <c r="P31" s="21">
        <f t="shared" si="10"/>
        <v>0.50478723404255321</v>
      </c>
      <c r="Q31" s="21">
        <f t="shared" si="11"/>
        <v>0.37931034482758608</v>
      </c>
      <c r="R31" s="21">
        <f t="shared" si="12"/>
        <v>7.6073404704742872E-2</v>
      </c>
      <c r="S31" s="21">
        <f t="shared" si="13"/>
        <v>0.46464294185754312</v>
      </c>
    </row>
    <row r="32" spans="1:19" x14ac:dyDescent="0.25">
      <c r="B32" s="10" t="s">
        <v>59</v>
      </c>
      <c r="C32" s="11">
        <v>16</v>
      </c>
      <c r="D32" s="12">
        <v>15.0625</v>
      </c>
      <c r="E32" s="12">
        <v>7.6</v>
      </c>
      <c r="F32" s="11">
        <v>25.5</v>
      </c>
      <c r="G32" s="11">
        <v>17.899999999999999</v>
      </c>
      <c r="H32" s="12">
        <v>4.3882988351600059</v>
      </c>
      <c r="I32" s="13">
        <v>29.13393417533614</v>
      </c>
      <c r="L32" t="s">
        <v>13</v>
      </c>
      <c r="M32" s="21">
        <f t="shared" si="7"/>
        <v>0.55926462628978468</v>
      </c>
      <c r="N32" s="21">
        <f t="shared" si="8"/>
        <v>0.24025289778714443</v>
      </c>
      <c r="O32" s="21">
        <f t="shared" si="9"/>
        <v>0.38039215686274508</v>
      </c>
      <c r="P32" s="21">
        <f t="shared" si="10"/>
        <v>0.83723404255319145</v>
      </c>
      <c r="Q32" s="21">
        <f t="shared" si="11"/>
        <v>0.52873563218390807</v>
      </c>
      <c r="R32" s="21">
        <f t="shared" si="12"/>
        <v>1</v>
      </c>
      <c r="S32" s="21">
        <f t="shared" si="13"/>
        <v>0.53838195956308021</v>
      </c>
    </row>
    <row r="33" spans="2:19" x14ac:dyDescent="0.25">
      <c r="B33" s="10" t="s">
        <v>60</v>
      </c>
      <c r="C33" s="11">
        <v>16</v>
      </c>
      <c r="D33" s="12">
        <v>1038.2500000000002</v>
      </c>
      <c r="E33" s="12">
        <v>375</v>
      </c>
      <c r="F33" s="11">
        <v>1880</v>
      </c>
      <c r="G33" s="11">
        <v>1505</v>
      </c>
      <c r="H33" s="12">
        <v>500.23707712776883</v>
      </c>
      <c r="I33" s="13">
        <v>48.180792403348775</v>
      </c>
      <c r="L33" t="s">
        <v>15</v>
      </c>
      <c r="M33" s="21">
        <f t="shared" si="7"/>
        <v>0.74214780802067148</v>
      </c>
      <c r="N33" s="21">
        <f t="shared" si="8"/>
        <v>0.45205479452054798</v>
      </c>
      <c r="O33" s="21">
        <f t="shared" si="9"/>
        <v>0.60000000000000009</v>
      </c>
      <c r="P33" s="21">
        <f t="shared" si="10"/>
        <v>1</v>
      </c>
      <c r="Q33" s="21">
        <f t="shared" si="11"/>
        <v>0.54022988505747116</v>
      </c>
      <c r="R33" s="21">
        <f t="shared" si="12"/>
        <v>0.91449856261141049</v>
      </c>
      <c r="S33" s="21">
        <f t="shared" si="13"/>
        <v>0.99544620818743113</v>
      </c>
    </row>
    <row r="34" spans="2:19" x14ac:dyDescent="0.25">
      <c r="B34" s="10" t="s">
        <v>61</v>
      </c>
      <c r="C34" s="11">
        <v>16</v>
      </c>
      <c r="D34" s="12">
        <v>5.8</v>
      </c>
      <c r="E34" s="12">
        <v>2.9</v>
      </c>
      <c r="F34" s="11">
        <v>8.6999999999999993</v>
      </c>
      <c r="G34" s="11">
        <v>5.7999999999999989</v>
      </c>
      <c r="H34" s="12">
        <v>1.821720798219822</v>
      </c>
      <c r="I34" s="13">
        <v>31.408979279652105</v>
      </c>
      <c r="L34" t="s">
        <v>16</v>
      </c>
      <c r="M34" s="21">
        <f t="shared" si="7"/>
        <v>0.93536672660928477</v>
      </c>
      <c r="N34" s="21">
        <f t="shared" si="8"/>
        <v>0.44257112750263439</v>
      </c>
      <c r="O34" s="21">
        <f t="shared" si="9"/>
        <v>0.51372549019607838</v>
      </c>
      <c r="P34" s="21">
        <f t="shared" si="10"/>
        <v>0.2824468085106383</v>
      </c>
      <c r="Q34" s="21">
        <f t="shared" si="11"/>
        <v>0.32183908045977005</v>
      </c>
      <c r="R34" s="21">
        <f t="shared" si="12"/>
        <v>1.829622226114792E-2</v>
      </c>
      <c r="S34" s="21">
        <f t="shared" si="13"/>
        <v>0.30617967632615389</v>
      </c>
    </row>
    <row r="35" spans="2:19" x14ac:dyDescent="0.25">
      <c r="B35" s="14" t="s">
        <v>62</v>
      </c>
      <c r="C35" s="15">
        <v>16</v>
      </c>
      <c r="D35" s="16">
        <v>3022.5762500000001</v>
      </c>
      <c r="E35" s="16">
        <v>2465.21</v>
      </c>
      <c r="F35" s="15">
        <v>3555.13</v>
      </c>
      <c r="G35" s="15">
        <v>1089.92</v>
      </c>
      <c r="H35" s="16">
        <v>245.38484831994009</v>
      </c>
      <c r="I35" s="17">
        <v>8.1184005968398676</v>
      </c>
      <c r="L35" t="s">
        <v>12</v>
      </c>
      <c r="M35" s="21">
        <f t="shared" si="7"/>
        <v>0.67775896083942944</v>
      </c>
      <c r="N35" s="21">
        <f t="shared" si="8"/>
        <v>0.48261327713382507</v>
      </c>
      <c r="O35" s="21">
        <f t="shared" si="9"/>
        <v>0.47843137254901957</v>
      </c>
      <c r="P35" s="21">
        <f t="shared" si="10"/>
        <v>0.71382978723404256</v>
      </c>
      <c r="Q35" s="21">
        <f t="shared" si="11"/>
        <v>0</v>
      </c>
      <c r="R35" s="21">
        <f t="shared" si="12"/>
        <v>7.528098873886141E-2</v>
      </c>
      <c r="S35" s="21">
        <f t="shared" si="13"/>
        <v>0.81768393068090817</v>
      </c>
    </row>
    <row r="36" spans="2:19" x14ac:dyDescent="0.25">
      <c r="B36" s="10" t="s">
        <v>63</v>
      </c>
      <c r="C36" s="11">
        <v>16</v>
      </c>
      <c r="D36" s="12">
        <v>492219.875</v>
      </c>
      <c r="E36" s="12">
        <v>35379</v>
      </c>
      <c r="F36" s="11">
        <v>2038071</v>
      </c>
      <c r="G36" s="11">
        <v>2002692</v>
      </c>
      <c r="H36" s="12">
        <v>629466.90201575856</v>
      </c>
      <c r="I36" s="13">
        <v>127.8832761508784</v>
      </c>
      <c r="L36" t="s">
        <v>1</v>
      </c>
      <c r="M36" s="21">
        <f t="shared" si="7"/>
        <v>0.69671945108856959</v>
      </c>
      <c r="N36" s="21">
        <f t="shared" si="8"/>
        <v>0.67755532139093777</v>
      </c>
      <c r="O36" s="21">
        <f t="shared" si="9"/>
        <v>0</v>
      </c>
      <c r="P36" s="21">
        <f t="shared" si="10"/>
        <v>0.22606382978723405</v>
      </c>
      <c r="Q36" s="21">
        <f t="shared" si="11"/>
        <v>0.1954022988505747</v>
      </c>
      <c r="R36" s="21">
        <f t="shared" si="12"/>
        <v>4.2404312705494558E-2</v>
      </c>
      <c r="S36" s="21">
        <f t="shared" si="13"/>
        <v>0.75659055094070204</v>
      </c>
    </row>
    <row r="37" spans="2:19" x14ac:dyDescent="0.25">
      <c r="B37" s="10" t="s">
        <v>64</v>
      </c>
      <c r="C37" s="11">
        <v>16</v>
      </c>
      <c r="D37" s="12">
        <v>595189.5</v>
      </c>
      <c r="E37" s="12">
        <v>260742</v>
      </c>
      <c r="F37" s="11">
        <v>851598</v>
      </c>
      <c r="G37" s="11">
        <v>590856</v>
      </c>
      <c r="H37" s="12">
        <v>189030.20179220042</v>
      </c>
      <c r="I37" s="13">
        <v>31.759666760283977</v>
      </c>
      <c r="L37" t="s">
        <v>4</v>
      </c>
      <c r="M37" s="21">
        <f t="shared" si="7"/>
        <v>0.52813520261186864</v>
      </c>
      <c r="N37" s="21">
        <f t="shared" si="8"/>
        <v>0.24762908324552158</v>
      </c>
      <c r="O37" s="21">
        <f t="shared" si="9"/>
        <v>0.45490196078431366</v>
      </c>
      <c r="P37" s="21">
        <f t="shared" si="10"/>
        <v>0.56861702127659575</v>
      </c>
      <c r="Q37" s="21">
        <f t="shared" si="11"/>
        <v>0.47126436781609193</v>
      </c>
      <c r="R37" s="21">
        <f t="shared" si="12"/>
        <v>0.33462573188078337</v>
      </c>
      <c r="S37" s="21">
        <f t="shared" si="13"/>
        <v>0.80923276005814948</v>
      </c>
    </row>
    <row r="38" spans="2:19" x14ac:dyDescent="0.25">
      <c r="L38" t="s">
        <v>18</v>
      </c>
      <c r="M38" s="21">
        <f t="shared" si="7"/>
        <v>0.75429928243448507</v>
      </c>
      <c r="N38" s="21">
        <f t="shared" si="8"/>
        <v>0.56269757639620654</v>
      </c>
      <c r="O38" s="21">
        <f t="shared" si="9"/>
        <v>0.70196078431372544</v>
      </c>
      <c r="P38" s="21">
        <f t="shared" si="10"/>
        <v>0.85851063829787233</v>
      </c>
      <c r="Q38" s="21">
        <f t="shared" si="11"/>
        <v>0.58620689655172409</v>
      </c>
      <c r="R38" s="21">
        <f t="shared" si="12"/>
        <v>0.18297694241270299</v>
      </c>
      <c r="S38" s="21">
        <f t="shared" si="13"/>
        <v>0.48247060232644978</v>
      </c>
    </row>
    <row r="39" spans="2:19" x14ac:dyDescent="0.25">
      <c r="L39" t="s">
        <v>11</v>
      </c>
      <c r="M39" s="21">
        <f t="shared" si="7"/>
        <v>0.51188085968189678</v>
      </c>
      <c r="N39" s="21">
        <f t="shared" si="8"/>
        <v>0.39726027397260277</v>
      </c>
      <c r="O39" s="21">
        <f t="shared" si="9"/>
        <v>0.43529411764705883</v>
      </c>
      <c r="P39" s="21">
        <f t="shared" si="10"/>
        <v>0.19946808510638298</v>
      </c>
      <c r="Q39" s="21">
        <f t="shared" si="11"/>
        <v>0.12643678160919536</v>
      </c>
      <c r="R39" s="21">
        <f t="shared" si="12"/>
        <v>1.7359061583232381E-2</v>
      </c>
      <c r="S39" s="21">
        <f t="shared" si="13"/>
        <v>0.39835579698402296</v>
      </c>
    </row>
    <row r="40" spans="2:19" x14ac:dyDescent="0.25">
      <c r="L40" t="s">
        <v>3</v>
      </c>
      <c r="M40" s="21">
        <f t="shared" si="7"/>
        <v>0.51858512142744906</v>
      </c>
      <c r="N40" s="21">
        <f t="shared" si="8"/>
        <v>0.40990516332982085</v>
      </c>
      <c r="O40" s="21">
        <f t="shared" si="9"/>
        <v>0.1450980392156862</v>
      </c>
      <c r="P40" s="21">
        <f t="shared" si="10"/>
        <v>0.29521276595744683</v>
      </c>
      <c r="Q40" s="21">
        <f t="shared" si="11"/>
        <v>3.4482758620689502E-2</v>
      </c>
      <c r="R40" s="21">
        <f t="shared" si="12"/>
        <v>5.0367234507531874E-2</v>
      </c>
      <c r="S40" s="21">
        <f t="shared" si="13"/>
        <v>0.93821497936819953</v>
      </c>
    </row>
    <row r="41" spans="2:19" x14ac:dyDescent="0.25">
      <c r="L41" t="s">
        <v>8</v>
      </c>
      <c r="M41" s="21">
        <f t="shared" si="7"/>
        <v>1</v>
      </c>
      <c r="N41" s="21">
        <f t="shared" si="8"/>
        <v>0.25289778714436251</v>
      </c>
      <c r="O41" s="21">
        <f t="shared" si="9"/>
        <v>0.47843137254901957</v>
      </c>
      <c r="P41" s="21">
        <f t="shared" si="10"/>
        <v>0.8781914893617021</v>
      </c>
      <c r="Q41" s="21">
        <f t="shared" si="11"/>
        <v>0.66666666666666663</v>
      </c>
      <c r="R41" s="21">
        <f t="shared" si="12"/>
        <v>0.13964381024998637</v>
      </c>
      <c r="S41" s="21">
        <f t="shared" si="13"/>
        <v>0.93178706384937493</v>
      </c>
    </row>
    <row r="42" spans="2:19" x14ac:dyDescent="0.25">
      <c r="L42" t="s">
        <v>5</v>
      </c>
      <c r="M42" s="21">
        <f t="shared" si="7"/>
        <v>0.42029086718927317</v>
      </c>
      <c r="N42" s="21">
        <f t="shared" si="8"/>
        <v>0.51633298208640677</v>
      </c>
      <c r="O42" s="21">
        <f t="shared" si="9"/>
        <v>0.37647058823529411</v>
      </c>
      <c r="P42" s="21">
        <f t="shared" si="10"/>
        <v>0.51595744680851063</v>
      </c>
      <c r="Q42" s="21">
        <f t="shared" si="11"/>
        <v>0.2183908045977011</v>
      </c>
      <c r="R42" s="21">
        <f t="shared" si="12"/>
        <v>0.42618436747296828</v>
      </c>
      <c r="S42" s="21">
        <f t="shared" si="13"/>
        <v>1</v>
      </c>
    </row>
    <row r="44" spans="2:19" x14ac:dyDescent="0.25">
      <c r="B44" s="6" t="s">
        <v>48</v>
      </c>
      <c r="C44" s="7" t="s">
        <v>65</v>
      </c>
      <c r="D44" s="8"/>
      <c r="E44" s="8"/>
      <c r="F44" s="8"/>
      <c r="G44" s="8"/>
      <c r="H44" s="8"/>
      <c r="I44" s="8"/>
      <c r="J44" s="8"/>
      <c r="K44" s="8"/>
    </row>
    <row r="45" spans="2:19" ht="45" x14ac:dyDescent="0.25">
      <c r="B45" s="8"/>
      <c r="C45" s="9" t="s">
        <v>51</v>
      </c>
      <c r="D45" s="9" t="s">
        <v>55</v>
      </c>
      <c r="E45" s="9" t="s">
        <v>57</v>
      </c>
      <c r="F45" s="9" t="s">
        <v>58</v>
      </c>
      <c r="G45" s="9" t="s">
        <v>59</v>
      </c>
      <c r="H45" s="9" t="s">
        <v>60</v>
      </c>
      <c r="I45" s="9" t="s">
        <v>61</v>
      </c>
      <c r="J45" s="9" t="s">
        <v>63</v>
      </c>
      <c r="K45" s="9" t="s">
        <v>64</v>
      </c>
    </row>
    <row r="46" spans="2:19" x14ac:dyDescent="0.25">
      <c r="B46" s="10" t="s">
        <v>57</v>
      </c>
      <c r="C46" s="12">
        <v>384.81562500000001</v>
      </c>
      <c r="D46" s="12">
        <v>103.84907221339695</v>
      </c>
      <c r="E46" s="18">
        <v>1</v>
      </c>
      <c r="F46" s="18">
        <v>0.18205808468191312</v>
      </c>
      <c r="G46" s="18">
        <v>-0.28578401296162681</v>
      </c>
      <c r="H46" s="18">
        <v>0.42189563876321529</v>
      </c>
      <c r="I46" s="18">
        <v>-0.42943022142001502</v>
      </c>
      <c r="J46" s="18">
        <v>-5.5407197184802214E-2</v>
      </c>
      <c r="K46" s="18">
        <v>-0.1804467828607865</v>
      </c>
    </row>
    <row r="47" spans="2:19" x14ac:dyDescent="0.25">
      <c r="B47" s="10" t="s">
        <v>58</v>
      </c>
      <c r="C47" s="12">
        <v>55.581250000000004</v>
      </c>
      <c r="D47" s="12">
        <v>16.088845773806565</v>
      </c>
      <c r="E47" s="18">
        <v>0.18205808468191312</v>
      </c>
      <c r="F47" s="18">
        <v>1</v>
      </c>
      <c r="G47" s="18">
        <v>-0.12095979032660725</v>
      </c>
      <c r="H47" s="18">
        <v>0.27923443961099637</v>
      </c>
      <c r="I47" s="18">
        <v>-0.38961354347002314</v>
      </c>
      <c r="J47" s="18">
        <v>0.22694142226784575</v>
      </c>
      <c r="K47" s="18">
        <v>-0.12211322967292297</v>
      </c>
    </row>
    <row r="48" spans="2:19" x14ac:dyDescent="0.25">
      <c r="B48" s="10" t="s">
        <v>59</v>
      </c>
      <c r="C48" s="12">
        <v>15.0625</v>
      </c>
      <c r="D48" s="12">
        <v>4.3882988351600059</v>
      </c>
      <c r="E48" s="18">
        <v>-0.28578401296162681</v>
      </c>
      <c r="F48" s="18">
        <v>-0.12095979032660725</v>
      </c>
      <c r="G48" s="18">
        <v>1</v>
      </c>
      <c r="H48" s="19">
        <v>-0.56172971601787669</v>
      </c>
      <c r="I48" s="19">
        <v>0.57257783074055946</v>
      </c>
      <c r="J48" s="18">
        <v>-0.27728896587101676</v>
      </c>
      <c r="K48" s="18">
        <v>9.2347750902286863E-2</v>
      </c>
    </row>
    <row r="49" spans="2:18" x14ac:dyDescent="0.25">
      <c r="B49" s="10" t="s">
        <v>60</v>
      </c>
      <c r="C49" s="12">
        <v>1038.2500000000002</v>
      </c>
      <c r="D49" s="12">
        <v>500.23707712776883</v>
      </c>
      <c r="E49" s="18">
        <v>0.42189563876321529</v>
      </c>
      <c r="F49" s="18">
        <v>0.27923443961099637</v>
      </c>
      <c r="G49" s="19">
        <v>-0.56172971601787669</v>
      </c>
      <c r="H49" s="18">
        <v>1</v>
      </c>
      <c r="I49" s="19">
        <v>-0.6175918247316845</v>
      </c>
      <c r="J49" s="19">
        <v>0.66771438605200661</v>
      </c>
      <c r="K49" s="18">
        <v>0.2779135826983572</v>
      </c>
    </row>
    <row r="50" spans="2:18" x14ac:dyDescent="0.25">
      <c r="B50" s="10" t="s">
        <v>61</v>
      </c>
      <c r="C50" s="12">
        <v>5.8</v>
      </c>
      <c r="D50" s="12">
        <v>1.8217207982198222</v>
      </c>
      <c r="E50" s="18">
        <v>-0.42943022142001502</v>
      </c>
      <c r="F50" s="18">
        <v>-0.38961354347002314</v>
      </c>
      <c r="G50" s="19">
        <v>0.57257783074055946</v>
      </c>
      <c r="H50" s="19">
        <v>-0.6175918247316845</v>
      </c>
      <c r="I50" s="18">
        <v>1</v>
      </c>
      <c r="J50" s="18">
        <v>-0.48641382137698741</v>
      </c>
      <c r="K50" s="18">
        <v>-3.2314627864899088E-2</v>
      </c>
    </row>
    <row r="51" spans="2:18" x14ac:dyDescent="0.25">
      <c r="B51" s="10" t="s">
        <v>63</v>
      </c>
      <c r="C51" s="12">
        <v>492219.875</v>
      </c>
      <c r="D51" s="12">
        <v>629466.90201575856</v>
      </c>
      <c r="E51" s="18">
        <v>-5.5407197184802214E-2</v>
      </c>
      <c r="F51" s="18">
        <v>0.22694142226784575</v>
      </c>
      <c r="G51" s="18">
        <v>-0.27728896587101676</v>
      </c>
      <c r="H51" s="19">
        <v>0.66771438605200661</v>
      </c>
      <c r="I51" s="18">
        <v>-0.48641382137698741</v>
      </c>
      <c r="J51" s="18">
        <v>1</v>
      </c>
      <c r="K51" s="18">
        <v>0.2657989235354542</v>
      </c>
    </row>
    <row r="52" spans="2:18" x14ac:dyDescent="0.25">
      <c r="B52" s="10" t="s">
        <v>64</v>
      </c>
      <c r="C52" s="12">
        <v>595189.5</v>
      </c>
      <c r="D52" s="12">
        <v>189030.20179220039</v>
      </c>
      <c r="E52" s="18">
        <v>-0.1804467828607865</v>
      </c>
      <c r="F52" s="18">
        <v>-0.12211322967292297</v>
      </c>
      <c r="G52" s="18">
        <v>9.2347750902286863E-2</v>
      </c>
      <c r="H52" s="18">
        <v>0.2779135826983572</v>
      </c>
      <c r="I52" s="18">
        <v>-3.2314627864899088E-2</v>
      </c>
      <c r="J52" s="18">
        <v>0.2657989235354542</v>
      </c>
      <c r="K52" s="18">
        <v>1</v>
      </c>
    </row>
    <row r="53" spans="2:18" x14ac:dyDescent="0.25">
      <c r="O53" t="s">
        <v>70</v>
      </c>
    </row>
    <row r="54" spans="2:18" x14ac:dyDescent="0.25">
      <c r="O54" t="s">
        <v>71</v>
      </c>
    </row>
    <row r="55" spans="2:18" x14ac:dyDescent="0.25">
      <c r="O55" t="s">
        <v>73</v>
      </c>
      <c r="R55" t="s">
        <v>72</v>
      </c>
    </row>
    <row r="56" spans="2:18" ht="30" x14ac:dyDescent="0.25">
      <c r="B56" s="2"/>
      <c r="C56" s="2" t="s">
        <v>41</v>
      </c>
      <c r="D56" s="2" t="s">
        <v>42</v>
      </c>
      <c r="E56" s="2" t="s">
        <v>43</v>
      </c>
      <c r="F56" s="2" t="s">
        <v>21</v>
      </c>
      <c r="G56" s="27" t="s">
        <v>44</v>
      </c>
      <c r="H56" s="2" t="s">
        <v>46</v>
      </c>
      <c r="I56" s="2" t="s">
        <v>47</v>
      </c>
      <c r="J56" s="2" t="s">
        <v>68</v>
      </c>
      <c r="K56" s="2" t="s">
        <v>69</v>
      </c>
      <c r="O56" t="s">
        <v>74</v>
      </c>
    </row>
    <row r="57" spans="2:18" x14ac:dyDescent="0.25">
      <c r="B57" s="2" t="s">
        <v>17</v>
      </c>
      <c r="C57" s="2">
        <f>RANK(C8,$C$8:$C$23,0)</f>
        <v>2</v>
      </c>
      <c r="D57" s="2">
        <f>RANK(D8,$D$8:$D$23,1)</f>
        <v>12</v>
      </c>
      <c r="E57" s="2">
        <f>RANK(E8,$E$8:$E$23,1)</f>
        <v>4</v>
      </c>
      <c r="F57" s="2">
        <f>RANK(F8,$F$8:$F$23,0)</f>
        <v>5</v>
      </c>
      <c r="G57" s="2">
        <f>RANK(G8,$G$8:$G$23,1)</f>
        <v>6</v>
      </c>
      <c r="H57" s="2">
        <f>RANK(I8,$I$8:$I$23,0)</f>
        <v>4</v>
      </c>
      <c r="I57" s="2">
        <f>RANK(J8,$J$8:$J$23,0)</f>
        <v>9</v>
      </c>
      <c r="J57">
        <f>SUM(C57:I57)</f>
        <v>42</v>
      </c>
      <c r="K57">
        <f>RANK(J57,$J$57:$J$72,1)</f>
        <v>4</v>
      </c>
      <c r="O57" t="s">
        <v>75</v>
      </c>
    </row>
    <row r="58" spans="2:18" x14ac:dyDescent="0.25">
      <c r="B58" s="2" t="s">
        <v>9</v>
      </c>
      <c r="C58" s="2">
        <f t="shared" ref="C58:C72" si="14">RANK(C9,$C$8:$C$23,0)</f>
        <v>7</v>
      </c>
      <c r="D58" s="2">
        <f t="shared" ref="D58:D72" si="15">RANK(D9,$D$8:$D$23,1)</f>
        <v>2</v>
      </c>
      <c r="E58" s="2">
        <f t="shared" ref="E58:E72" si="16">RANK(E9,$E$8:$E$23,1)</f>
        <v>14</v>
      </c>
      <c r="F58" s="2">
        <f t="shared" ref="F58:G72" si="17">RANK(F9,$F$8:$F$23,0)</f>
        <v>10</v>
      </c>
      <c r="G58" s="2">
        <f t="shared" ref="G58:G72" si="18">RANK(G9,$G$8:$G$23,1)</f>
        <v>12</v>
      </c>
      <c r="H58" s="2">
        <f t="shared" ref="H58:H72" si="19">RANK(I9,$I$8:$I$23,0)</f>
        <v>13</v>
      </c>
      <c r="I58" s="2">
        <f t="shared" ref="I58:I72" si="20">RANK(J9,$J$8:$J$23,0)</f>
        <v>12</v>
      </c>
      <c r="J58">
        <f t="shared" ref="J58:J72" si="21">SUM(C58:I58)</f>
        <v>70</v>
      </c>
      <c r="K58">
        <f t="shared" ref="K58:K72" si="22">RANK(J58,$J$57:$J$72,1)</f>
        <v>10</v>
      </c>
      <c r="O58" t="s">
        <v>76</v>
      </c>
    </row>
    <row r="59" spans="2:18" x14ac:dyDescent="0.25">
      <c r="B59" s="2" t="s">
        <v>10</v>
      </c>
      <c r="C59" s="2">
        <f t="shared" si="14"/>
        <v>14</v>
      </c>
      <c r="D59" s="2">
        <f t="shared" si="15"/>
        <v>4</v>
      </c>
      <c r="E59" s="2">
        <f t="shared" si="16"/>
        <v>12</v>
      </c>
      <c r="F59" s="2">
        <f t="shared" si="17"/>
        <v>11</v>
      </c>
      <c r="G59" s="2">
        <f t="shared" si="18"/>
        <v>13</v>
      </c>
      <c r="H59" s="2">
        <f t="shared" si="19"/>
        <v>11</v>
      </c>
      <c r="I59" s="2">
        <f t="shared" si="20"/>
        <v>10</v>
      </c>
      <c r="J59">
        <f t="shared" si="21"/>
        <v>75</v>
      </c>
      <c r="K59">
        <f t="shared" si="22"/>
        <v>13</v>
      </c>
    </row>
    <row r="60" spans="2:18" x14ac:dyDescent="0.25">
      <c r="B60" s="2" t="s">
        <v>7</v>
      </c>
      <c r="C60" s="2">
        <f t="shared" si="14"/>
        <v>15</v>
      </c>
      <c r="D60" s="2">
        <f t="shared" si="15"/>
        <v>6</v>
      </c>
      <c r="E60" s="2">
        <f t="shared" si="16"/>
        <v>3</v>
      </c>
      <c r="F60" s="2">
        <f t="shared" si="17"/>
        <v>14</v>
      </c>
      <c r="G60" s="2">
        <f t="shared" si="18"/>
        <v>5</v>
      </c>
      <c r="H60" s="2">
        <f t="shared" si="19"/>
        <v>8</v>
      </c>
      <c r="I60" s="2">
        <f t="shared" si="20"/>
        <v>7</v>
      </c>
      <c r="J60">
        <f t="shared" si="21"/>
        <v>58</v>
      </c>
      <c r="K60">
        <f t="shared" si="22"/>
        <v>8</v>
      </c>
    </row>
    <row r="61" spans="2:18" x14ac:dyDescent="0.25">
      <c r="B61" s="2" t="s">
        <v>14</v>
      </c>
      <c r="C61" s="2">
        <f t="shared" si="14"/>
        <v>6</v>
      </c>
      <c r="D61" s="2">
        <f t="shared" si="15"/>
        <v>16</v>
      </c>
      <c r="E61" s="2">
        <f t="shared" si="16"/>
        <v>13</v>
      </c>
      <c r="F61" s="2">
        <f t="shared" si="17"/>
        <v>9</v>
      </c>
      <c r="G61" s="2">
        <f t="shared" si="18"/>
        <v>8</v>
      </c>
      <c r="H61" s="2">
        <f t="shared" si="19"/>
        <v>9</v>
      </c>
      <c r="I61" s="2">
        <f t="shared" si="20"/>
        <v>14</v>
      </c>
      <c r="J61">
        <f t="shared" si="21"/>
        <v>75</v>
      </c>
      <c r="K61">
        <f t="shared" si="22"/>
        <v>13</v>
      </c>
    </row>
    <row r="62" spans="2:18" x14ac:dyDescent="0.25">
      <c r="B62" s="2" t="s">
        <v>13</v>
      </c>
      <c r="C62" s="2">
        <f t="shared" si="14"/>
        <v>10</v>
      </c>
      <c r="D62" s="2">
        <f t="shared" si="15"/>
        <v>15</v>
      </c>
      <c r="E62" s="2">
        <f t="shared" si="16"/>
        <v>10</v>
      </c>
      <c r="F62" s="2">
        <f t="shared" si="17"/>
        <v>4</v>
      </c>
      <c r="G62" s="2">
        <f t="shared" si="18"/>
        <v>4</v>
      </c>
      <c r="H62" s="2">
        <f t="shared" si="19"/>
        <v>1</v>
      </c>
      <c r="I62" s="2">
        <f t="shared" si="20"/>
        <v>11</v>
      </c>
      <c r="J62">
        <f t="shared" si="21"/>
        <v>55</v>
      </c>
      <c r="K62">
        <f t="shared" si="22"/>
        <v>6</v>
      </c>
    </row>
    <row r="63" spans="2:18" x14ac:dyDescent="0.25">
      <c r="B63" s="26" t="s">
        <v>15</v>
      </c>
      <c r="C63" s="26">
        <f t="shared" si="14"/>
        <v>5</v>
      </c>
      <c r="D63" s="26">
        <f t="shared" si="15"/>
        <v>8</v>
      </c>
      <c r="E63" s="26">
        <f t="shared" si="16"/>
        <v>2</v>
      </c>
      <c r="F63" s="26">
        <f t="shared" si="17"/>
        <v>1</v>
      </c>
      <c r="G63" s="26">
        <f t="shared" si="18"/>
        <v>3</v>
      </c>
      <c r="H63" s="26">
        <f t="shared" si="19"/>
        <v>2</v>
      </c>
      <c r="I63" s="26">
        <f t="shared" si="20"/>
        <v>2</v>
      </c>
      <c r="J63" s="25">
        <f t="shared" si="21"/>
        <v>23</v>
      </c>
      <c r="K63" s="25">
        <f t="shared" si="22"/>
        <v>1</v>
      </c>
    </row>
    <row r="64" spans="2:18" x14ac:dyDescent="0.25">
      <c r="B64" s="2" t="s">
        <v>16</v>
      </c>
      <c r="C64" s="2">
        <f t="shared" si="14"/>
        <v>3</v>
      </c>
      <c r="D64" s="2">
        <f t="shared" si="15"/>
        <v>9</v>
      </c>
      <c r="E64" s="2">
        <f t="shared" si="16"/>
        <v>5</v>
      </c>
      <c r="F64" s="2">
        <f t="shared" si="17"/>
        <v>13</v>
      </c>
      <c r="G64" s="2">
        <f t="shared" si="18"/>
        <v>9</v>
      </c>
      <c r="H64" s="2">
        <f t="shared" si="19"/>
        <v>15</v>
      </c>
      <c r="I64" s="2">
        <f t="shared" si="20"/>
        <v>16</v>
      </c>
      <c r="J64">
        <f t="shared" si="21"/>
        <v>70</v>
      </c>
      <c r="K64">
        <f t="shared" si="22"/>
        <v>10</v>
      </c>
    </row>
    <row r="65" spans="2:11" x14ac:dyDescent="0.25">
      <c r="B65" s="2" t="s">
        <v>12</v>
      </c>
      <c r="C65" s="2">
        <f t="shared" si="14"/>
        <v>9</v>
      </c>
      <c r="D65" s="2">
        <f t="shared" si="15"/>
        <v>7</v>
      </c>
      <c r="E65" s="2">
        <f t="shared" si="16"/>
        <v>6</v>
      </c>
      <c r="F65" s="2">
        <f t="shared" si="17"/>
        <v>6</v>
      </c>
      <c r="G65" s="2">
        <f t="shared" si="18"/>
        <v>16</v>
      </c>
      <c r="H65" s="2">
        <f t="shared" si="19"/>
        <v>10</v>
      </c>
      <c r="I65" s="2">
        <f t="shared" si="20"/>
        <v>5</v>
      </c>
      <c r="J65">
        <f t="shared" si="21"/>
        <v>59</v>
      </c>
      <c r="K65">
        <f t="shared" si="22"/>
        <v>9</v>
      </c>
    </row>
    <row r="66" spans="2:11" x14ac:dyDescent="0.25">
      <c r="B66" s="2" t="s">
        <v>1</v>
      </c>
      <c r="C66" s="2">
        <f t="shared" si="14"/>
        <v>8</v>
      </c>
      <c r="D66" s="2">
        <f t="shared" si="15"/>
        <v>1</v>
      </c>
      <c r="E66" s="2">
        <f t="shared" si="16"/>
        <v>16</v>
      </c>
      <c r="F66" s="2">
        <f t="shared" si="17"/>
        <v>15</v>
      </c>
      <c r="G66" s="2">
        <f t="shared" si="18"/>
        <v>11</v>
      </c>
      <c r="H66" s="2">
        <f t="shared" si="19"/>
        <v>14</v>
      </c>
      <c r="I66" s="2">
        <f t="shared" si="20"/>
        <v>8</v>
      </c>
      <c r="J66">
        <f t="shared" si="21"/>
        <v>73</v>
      </c>
      <c r="K66">
        <f t="shared" si="22"/>
        <v>12</v>
      </c>
    </row>
    <row r="67" spans="2:11" x14ac:dyDescent="0.25">
      <c r="B67" s="2" t="s">
        <v>4</v>
      </c>
      <c r="C67" s="2">
        <f t="shared" si="14"/>
        <v>11</v>
      </c>
      <c r="D67" s="2">
        <f t="shared" si="15"/>
        <v>14</v>
      </c>
      <c r="E67" s="2">
        <f t="shared" si="16"/>
        <v>8</v>
      </c>
      <c r="F67" s="2">
        <f t="shared" si="17"/>
        <v>7</v>
      </c>
      <c r="G67" s="2">
        <f t="shared" si="18"/>
        <v>6</v>
      </c>
      <c r="H67" s="2">
        <f t="shared" si="19"/>
        <v>5</v>
      </c>
      <c r="I67" s="2">
        <f t="shared" si="20"/>
        <v>6</v>
      </c>
      <c r="J67">
        <f t="shared" si="21"/>
        <v>57</v>
      </c>
      <c r="K67">
        <f t="shared" si="22"/>
        <v>7</v>
      </c>
    </row>
    <row r="68" spans="2:11" x14ac:dyDescent="0.25">
      <c r="B68" s="2" t="s">
        <v>18</v>
      </c>
      <c r="C68" s="2">
        <f t="shared" si="14"/>
        <v>4</v>
      </c>
      <c r="D68" s="2">
        <f t="shared" si="15"/>
        <v>3</v>
      </c>
      <c r="E68" s="2">
        <f t="shared" si="16"/>
        <v>1</v>
      </c>
      <c r="F68" s="2">
        <f t="shared" si="17"/>
        <v>3</v>
      </c>
      <c r="G68" s="2">
        <f t="shared" si="18"/>
        <v>2</v>
      </c>
      <c r="H68" s="2">
        <f t="shared" si="19"/>
        <v>6</v>
      </c>
      <c r="I68" s="2">
        <f t="shared" si="20"/>
        <v>13</v>
      </c>
      <c r="J68">
        <f t="shared" si="21"/>
        <v>32</v>
      </c>
      <c r="K68">
        <f t="shared" si="22"/>
        <v>2</v>
      </c>
    </row>
    <row r="69" spans="2:11" x14ac:dyDescent="0.25">
      <c r="B69" s="2" t="s">
        <v>11</v>
      </c>
      <c r="C69" s="2">
        <f t="shared" si="14"/>
        <v>13</v>
      </c>
      <c r="D69" s="2">
        <f t="shared" si="15"/>
        <v>11</v>
      </c>
      <c r="E69" s="2">
        <f t="shared" si="16"/>
        <v>9</v>
      </c>
      <c r="F69" s="2">
        <f t="shared" si="17"/>
        <v>16</v>
      </c>
      <c r="G69" s="2">
        <f t="shared" si="18"/>
        <v>14</v>
      </c>
      <c r="H69" s="2">
        <f t="shared" si="19"/>
        <v>16</v>
      </c>
      <c r="I69" s="2">
        <f t="shared" si="20"/>
        <v>15</v>
      </c>
      <c r="J69">
        <f t="shared" si="21"/>
        <v>94</v>
      </c>
      <c r="K69">
        <f t="shared" si="22"/>
        <v>16</v>
      </c>
    </row>
    <row r="70" spans="2:11" x14ac:dyDescent="0.25">
      <c r="B70" s="2" t="s">
        <v>3</v>
      </c>
      <c r="C70" s="2">
        <f t="shared" si="14"/>
        <v>12</v>
      </c>
      <c r="D70" s="2">
        <f t="shared" si="15"/>
        <v>10</v>
      </c>
      <c r="E70" s="2">
        <f t="shared" si="16"/>
        <v>15</v>
      </c>
      <c r="F70" s="2">
        <f t="shared" si="17"/>
        <v>12</v>
      </c>
      <c r="G70" s="2">
        <f t="shared" si="18"/>
        <v>15</v>
      </c>
      <c r="H70" s="2">
        <f t="shared" si="19"/>
        <v>12</v>
      </c>
      <c r="I70" s="2">
        <f t="shared" si="20"/>
        <v>3</v>
      </c>
      <c r="J70">
        <f t="shared" si="21"/>
        <v>79</v>
      </c>
      <c r="K70">
        <f t="shared" si="22"/>
        <v>15</v>
      </c>
    </row>
    <row r="71" spans="2:11" x14ac:dyDescent="0.25">
      <c r="B71" s="4" t="s">
        <v>8</v>
      </c>
      <c r="C71" s="2">
        <f t="shared" si="14"/>
        <v>1</v>
      </c>
      <c r="D71" s="2">
        <f t="shared" si="15"/>
        <v>13</v>
      </c>
      <c r="E71" s="2">
        <f t="shared" si="16"/>
        <v>6</v>
      </c>
      <c r="F71" s="2">
        <f t="shared" si="17"/>
        <v>2</v>
      </c>
      <c r="G71" s="2">
        <f t="shared" si="18"/>
        <v>1</v>
      </c>
      <c r="H71" s="2">
        <f t="shared" si="19"/>
        <v>7</v>
      </c>
      <c r="I71" s="2">
        <f t="shared" si="20"/>
        <v>4</v>
      </c>
      <c r="J71">
        <f t="shared" si="21"/>
        <v>34</v>
      </c>
      <c r="K71">
        <f t="shared" si="22"/>
        <v>3</v>
      </c>
    </row>
    <row r="72" spans="2:11" x14ac:dyDescent="0.25">
      <c r="B72" s="2" t="s">
        <v>5</v>
      </c>
      <c r="C72" s="2">
        <f t="shared" si="14"/>
        <v>16</v>
      </c>
      <c r="D72" s="2">
        <f t="shared" si="15"/>
        <v>5</v>
      </c>
      <c r="E72" s="2">
        <f t="shared" si="16"/>
        <v>11</v>
      </c>
      <c r="F72" s="2">
        <f t="shared" si="17"/>
        <v>8</v>
      </c>
      <c r="G72" s="2">
        <f t="shared" si="18"/>
        <v>10</v>
      </c>
      <c r="H72" s="2">
        <f t="shared" si="19"/>
        <v>3</v>
      </c>
      <c r="I72" s="2">
        <f t="shared" si="20"/>
        <v>1</v>
      </c>
      <c r="J72">
        <f t="shared" si="21"/>
        <v>54</v>
      </c>
      <c r="K72">
        <f t="shared" si="22"/>
        <v>5</v>
      </c>
    </row>
    <row r="73" spans="2:11" x14ac:dyDescent="0.25">
      <c r="G73" s="27"/>
    </row>
    <row r="74" spans="2:11" x14ac:dyDescent="0.25">
      <c r="G74" s="20"/>
    </row>
  </sheetData>
  <sortState xmlns:xlrd2="http://schemas.microsoft.com/office/spreadsheetml/2017/richdata2" ref="B8:C23">
    <sortCondition ref="B8:B23"/>
  </sortState>
  <mergeCells count="4">
    <mergeCell ref="B28:B29"/>
    <mergeCell ref="C28:I28"/>
    <mergeCell ref="B44:B45"/>
    <mergeCell ref="C44:K4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2026-03-18T07:38:21Z</dcterms:created>
  <dcterms:modified xsi:type="dcterms:W3CDTF">2026-03-18T08:58:37Z</dcterms:modified>
</cp:coreProperties>
</file>